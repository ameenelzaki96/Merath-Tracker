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Funding" sheetId="1" r:id="rId5"/>
    <sheet state="visible" name="Sudani" sheetId="2" r:id="rId6"/>
    <sheet state="visible" name="IntesaSanpaulo" sheetId="3" r:id="rId7"/>
    <sheet state="visible" name="Al-rajhi" sheetId="4" r:id="rId8"/>
    <sheet state="visible" name="Alinma" sheetId="5" r:id="rId9"/>
    <sheet state="visible" name="Revolut" sheetId="6" r:id="rId10"/>
    <sheet state="visible" name="Suadi Riyal-Cash" sheetId="7" r:id="rId11"/>
    <sheet state="visible" name="SAR-EURO-Revolut" sheetId="8" r:id="rId12"/>
  </sheets>
  <definedNames/>
  <calcPr/>
</workbook>
</file>

<file path=xl/sharedStrings.xml><?xml version="1.0" encoding="utf-8"?>
<sst xmlns="http://schemas.openxmlformats.org/spreadsheetml/2006/main" count="337" uniqueCount="59">
  <si>
    <t>Date</t>
  </si>
  <si>
    <t>Total SDG</t>
  </si>
  <si>
    <t>SDG</t>
  </si>
  <si>
    <t>SAR</t>
  </si>
  <si>
    <t>31-08-2026</t>
  </si>
  <si>
    <t>Euro</t>
  </si>
  <si>
    <t>Acquistion Status</t>
  </si>
  <si>
    <t>Acquired</t>
  </si>
  <si>
    <t>25-09-2026</t>
  </si>
  <si>
    <t>16-09-2026</t>
  </si>
  <si>
    <t xml:space="preserve">Remainig </t>
  </si>
  <si>
    <t>19-10-2026</t>
  </si>
  <si>
    <t>Pending</t>
  </si>
  <si>
    <t>19-09-2026</t>
  </si>
  <si>
    <t>18-10-2026</t>
  </si>
  <si>
    <t>20-09-2026</t>
  </si>
  <si>
    <t>20-10-2026</t>
  </si>
  <si>
    <t>24-10-2026</t>
  </si>
  <si>
    <t xml:space="preserve">Account </t>
  </si>
  <si>
    <t>-</t>
  </si>
  <si>
    <t>Ameen</t>
  </si>
  <si>
    <t>Yasmin</t>
  </si>
  <si>
    <t>Riyal</t>
  </si>
  <si>
    <t>Check with Yasmin</t>
  </si>
  <si>
    <t>14-09-2026</t>
  </si>
  <si>
    <t>14-Sep-2026 16:59 | Elhadi Mohamed Awedalkarim | 1,330,000 (=$200 x 6,650) | Trx 20143386515</t>
  </si>
  <si>
    <t>17-09-2026</t>
  </si>
  <si>
    <t>Hamed</t>
  </si>
  <si>
    <t>16-Sep-2026 19:12-19:14 | Elhadi Mohamed Awedalkarim | 5 x 3,000,000 = 15,000,000 ($2,000 x 7,500) | Receipts dated 16-Sep, tracker says 17-09</t>
  </si>
  <si>
    <t>24-09-2026</t>
  </si>
  <si>
    <t>18-09-2026</t>
  </si>
  <si>
    <t>26-09-2026</t>
  </si>
  <si>
    <t>27-09-2026</t>
  </si>
  <si>
    <t>21-09-2026</t>
  </si>
  <si>
    <t>28-09-2026</t>
  </si>
  <si>
    <t>21-10-2026</t>
  </si>
  <si>
    <t>29-09-2026</t>
  </si>
  <si>
    <t>29-Sep-2026 03:13 | Hanaa Alfadel Abdalla | 1,580,000 (=$200 x 7,900) | Trx 20443398650</t>
  </si>
  <si>
    <t>01-Oct-2026 20:07 | Elhadi Mohamed Awedalkarim | 2,370,000 ($300) | Trx 20093505586</t>
  </si>
  <si>
    <t>05-Oct-2026 16:07-16:08 | Abdelwahab Ismaeil 597,750 + Khadiga Ahmed 597,750 ($75 each x 7,970)</t>
  </si>
  <si>
    <t>08-Oct-2026 16:38-16:40 | Elhadi Mohamed Awedalkarim | 5,000,000 + 4,840,000 = 9,840,000 ($1,200 x 8,200)</t>
  </si>
  <si>
    <t>09-Oct-2026 07:10 | Mohamed Abdalla Alser Osman | 2,050,000 ($250 x 8,200) | Trx 20493454101</t>
  </si>
  <si>
    <t>17-10-2026</t>
  </si>
  <si>
    <t>17-Oct-2026 14:50 | Khadiga Ahmed Mahmoud | 360,000 ($37) | Trx 20093602288</t>
  </si>
  <si>
    <t>19-Oct-2026 18:25 | Hidar Mohamed Dafalla | 613,200 ($73 x 8,400) | Trx 20393521433 (green + white notice)</t>
  </si>
  <si>
    <t>13-10-2026</t>
  </si>
  <si>
    <t>14-10-2026</t>
  </si>
  <si>
    <t>16-10-2026</t>
  </si>
  <si>
    <t>Ahmed</t>
  </si>
  <si>
    <t>21-Oct-2026 20:38 | Ahmed Esameldin Altigani | 1,104,000 ($120 x 9,200) | Trx 20193632317 (green + white notice)</t>
  </si>
  <si>
    <t>22-10-2026</t>
  </si>
  <si>
    <t>22-Oct-2026 15:27 | Hanaa Alfadel Abdalla | 1,840,000 ($200 x 9,200) | Trx 20393540382</t>
  </si>
  <si>
    <t>23-10-2026</t>
  </si>
  <si>
    <t>25-10-2026</t>
  </si>
  <si>
    <t>26-10-2026</t>
  </si>
  <si>
    <t>27-10-2026</t>
  </si>
  <si>
    <t>27-Oct-2026 08:29 | Saba Osman Elamin | 1,386,000 ($150 x 9,240) | Trx 20093667161</t>
  </si>
  <si>
    <t>27-Oct-2026 14:20-14:21 | Ahmed Mohamed Gubara 739,200 + Nemat Abdelgader 739,200 ($160 x 9,240)</t>
  </si>
  <si>
    <t>Intesa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</si>
</sst>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FF00"/>
        <bgColor rgb="FF00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3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Font="1"/>
    <xf borderId="0" fillId="2" fontId="2" numFmtId="164" xfId="0" applyAlignment="1" applyFill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2" numFmtId="3" xfId="0" applyFont="1" applyNumberFormat="1"/>
    <xf borderId="0" fillId="3" fontId="2" numFmtId="164" xfId="0" applyAlignment="1" applyFill="1" applyFont="1" applyNumberForma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4" fontId="2" numFmtId="164" xfId="0" applyAlignment="1" applyFill="1" applyFont="1" applyNumberFormat="1">
      <alignment horizontal="center" readingOrder="0"/>
    </xf>
    <xf borderId="0" fillId="2" fontId="2" numFmtId="3" xfId="0" applyAlignment="1" applyFill="1" applyFont="1" applyNumberFormat="1">
      <alignment readingOrder="0"/>
    </xf>
    <xf borderId="0" fillId="0" fontId="2" numFmtId="4" xfId="0" applyAlignment="1" applyFont="1" applyNumberFormat="1">
      <alignment readingOrder="0"/>
    </xf>
    <xf borderId="1" fillId="5" fontId="3" numFmtId="0" xfId="0" applyAlignment="1" applyBorder="1" applyFill="1" applyFont="1">
      <alignment vertical="bottom"/>
    </xf>
    <xf borderId="0" fillId="4" fontId="2" numFmtId="0" xfId="0" applyAlignment="1" applyFill="1" applyFont="1">
      <alignment horizontal="center" readingOrder="0"/>
    </xf>
    <xf borderId="0" fillId="6" fontId="2" numFmtId="3" xfId="0" applyAlignment="1" applyFill="1" applyFont="1" applyNumberFormat="1">
      <alignment readingOrder="0"/>
    </xf>
    <xf borderId="1" fillId="5" fontId="3" numFmtId="0" xfId="0" applyAlignment="1" applyBorder="1" applyFill="1" applyFont="1">
      <alignment shrinkToFit="0" vertical="bottom" wrapText="0"/>
    </xf>
    <xf borderId="0" fillId="4" fontId="2" numFmtId="3" xfId="0" applyAlignment="1" applyFill="1" applyFont="1" applyNumberFormat="1">
      <alignment readingOrder="0"/>
    </xf>
    <xf borderId="0" fillId="4" fontId="2" numFmtId="0" xfId="0" applyFill="1" applyFont="1"/>
    <xf borderId="0" fillId="4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27.63"/>
  </cols>
  <sheetData>
    <row r="1">
      <c r="A1" s="1" t="s">
        <v>0</v>
      </c>
      <c r="B1" s="2" t="s">
        <v>2</v>
      </c>
      <c r="C1" s="2" t="s">
        <v>3</v>
      </c>
    </row>
    <row r="2">
      <c r="A2" s="3" t="s">
        <v>4</v>
      </c>
      <c r="B2" s="4">
        <v>5.0E7</v>
      </c>
    </row>
    <row r="3">
      <c r="A3" s="6">
        <v>46031.0</v>
      </c>
      <c r="B3" s="4">
        <v>1.4E7</v>
      </c>
    </row>
    <row r="4">
      <c r="A4" s="6">
        <v>46062.0</v>
      </c>
      <c r="B4" s="4">
        <v>1.4E7</v>
      </c>
    </row>
    <row r="5">
      <c r="A5" s="6">
        <v>46090.0</v>
      </c>
      <c r="B5" s="4">
        <v>1.4E7</v>
      </c>
    </row>
    <row r="6">
      <c r="A6" s="6">
        <v>46121.0</v>
      </c>
      <c r="B6" s="4">
        <v>1.4E7</v>
      </c>
    </row>
    <row r="7">
      <c r="A7" s="6">
        <v>46151.0</v>
      </c>
      <c r="B7" s="4">
        <v>1.4E7</v>
      </c>
    </row>
    <row r="8">
      <c r="A8" s="6">
        <v>46182.0</v>
      </c>
      <c r="B8" s="4">
        <v>1.4E7</v>
      </c>
    </row>
    <row r="9">
      <c r="A9" s="6">
        <v>46212.0</v>
      </c>
      <c r="B9" s="7">
        <f>C9*1830</f>
        <v>9150000</v>
      </c>
      <c r="C9" s="5">
        <v>5000.0</v>
      </c>
    </row>
    <row r="10">
      <c r="A10" s="6">
        <v>46212.0</v>
      </c>
      <c r="B10" s="4">
        <v>9000000.0</v>
      </c>
    </row>
    <row r="11">
      <c r="A11" s="6">
        <v>46212.0</v>
      </c>
      <c r="B11" s="7">
        <f t="shared" ref="B11:B12" si="1">C11*1830</f>
        <v>12810000</v>
      </c>
      <c r="C11" s="5">
        <v>7000.0</v>
      </c>
    </row>
    <row r="12">
      <c r="A12" s="6">
        <v>46243.0</v>
      </c>
      <c r="B12" s="7">
        <f t="shared" si="1"/>
        <v>5490000</v>
      </c>
      <c r="C12" s="5">
        <v>3000.0</v>
      </c>
    </row>
    <row r="13">
      <c r="A13" s="6">
        <v>46304.0</v>
      </c>
      <c r="B13" s="4">
        <v>8000000.0</v>
      </c>
    </row>
    <row r="14">
      <c r="A14" s="3" t="s">
        <v>9</v>
      </c>
      <c r="B14" s="4">
        <v>1.1E8</v>
      </c>
    </row>
    <row r="15">
      <c r="A15" s="6">
        <v>46063.0</v>
      </c>
      <c r="B15" s="4">
        <v>1.0E7</v>
      </c>
    </row>
    <row r="16">
      <c r="A16" s="6">
        <v>46122.0</v>
      </c>
      <c r="B16" s="4">
        <v>1.0E7</v>
      </c>
    </row>
    <row r="17">
      <c r="A17" s="6">
        <v>46152.0</v>
      </c>
      <c r="B17" s="4">
        <f>4600000+5000000+2350000+2500000</f>
        <v>14450000</v>
      </c>
    </row>
    <row r="18">
      <c r="A18" s="6">
        <v>46183.0</v>
      </c>
      <c r="B18" s="4">
        <f>5000000+5000000+5000000+550000</f>
        <v>15550000</v>
      </c>
    </row>
    <row r="19">
      <c r="A19" s="6">
        <v>46183.0</v>
      </c>
      <c r="B19" s="4">
        <f>5000000+5000000+5000000+1000000+5000000+5000000+2159500+1000000+830500+10000</f>
        <v>30000000</v>
      </c>
    </row>
    <row r="20">
      <c r="A20" s="6">
        <v>46213.0</v>
      </c>
      <c r="B20" s="4">
        <v>3.0E7</v>
      </c>
    </row>
    <row r="21">
      <c r="A21" s="6">
        <v>46366.0</v>
      </c>
      <c r="B21" s="4">
        <v>2.8E7</v>
      </c>
    </row>
    <row r="22">
      <c r="A22" s="3" t="s">
        <v>11</v>
      </c>
      <c r="B22" s="4">
        <v>1.0E8</v>
      </c>
    </row>
    <row r="23">
      <c r="A23" s="9"/>
    </row>
    <row r="24">
      <c r="A24" s="9"/>
    </row>
    <row r="25">
      <c r="A25" s="9"/>
    </row>
    <row r="26">
      <c r="A26" s="9"/>
    </row>
    <row r="27">
      <c r="A27" s="9"/>
    </row>
    <row r="28">
      <c r="A28" s="9"/>
    </row>
    <row r="29">
      <c r="A29" s="9"/>
    </row>
    <row r="30">
      <c r="A30" s="9"/>
    </row>
    <row r="31">
      <c r="A31" s="9"/>
    </row>
    <row r="32">
      <c r="A32" s="9"/>
    </row>
    <row r="33">
      <c r="A33" s="9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</v>
      </c>
      <c r="B1" s="4">
        <f>SUM('Main Funding'!B2:B34)</f>
        <v>526450000</v>
      </c>
      <c r="C1" s="5" t="s">
        <v>2</v>
      </c>
    </row>
    <row r="2">
      <c r="A2" s="5" t="s">
        <v>10</v>
      </c>
      <c r="B2" s="10">
        <f>B1- SUM(IntesaSanpaulo!B2:B35,'Al-rajhi'!B2:B35,Revolut!B2:B61,'Suadi Riyal-Cash'!B2:B29,Alinma!B2:B10)</f>
        <v>103742840</v>
      </c>
      <c r="C2" s="5" t="s">
        <v>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2</v>
      </c>
      <c r="C1" s="2" t="s">
        <v>5</v>
      </c>
      <c r="D1" s="2" t="s">
        <v>6</v>
      </c>
    </row>
    <row r="2">
      <c r="A2" s="6">
        <v>46062.0</v>
      </c>
      <c r="B2" s="4">
        <v>2292300.0</v>
      </c>
      <c r="C2" s="5">
        <v>300.0</v>
      </c>
      <c r="D2" s="5" t="s">
        <v>7</v>
      </c>
    </row>
    <row r="3">
      <c r="A3" s="6">
        <v>46090.0</v>
      </c>
      <c r="B3" s="4">
        <v>400000.0</v>
      </c>
      <c r="C3" s="5">
        <v>52.54</v>
      </c>
      <c r="D3" s="5" t="s">
        <v>7</v>
      </c>
    </row>
    <row r="4">
      <c r="A4" s="6">
        <v>46090.0</v>
      </c>
      <c r="B4" s="4">
        <v>200000.0</v>
      </c>
      <c r="C4" s="5">
        <v>26.31</v>
      </c>
      <c r="D4" s="5" t="s">
        <v>7</v>
      </c>
    </row>
    <row r="5">
      <c r="A5" s="6">
        <v>46121.0</v>
      </c>
      <c r="B5" s="4">
        <v>5400000.0</v>
      </c>
      <c r="C5" s="5">
        <v>691.95</v>
      </c>
      <c r="D5" s="5" t="s">
        <v>7</v>
      </c>
    </row>
    <row r="6">
      <c r="A6" s="6">
        <v>46121.0</v>
      </c>
      <c r="B6" s="4">
        <v>920000.0</v>
      </c>
      <c r="C6" s="5">
        <v>129.58</v>
      </c>
      <c r="D6" s="5" t="s">
        <v>7</v>
      </c>
    </row>
    <row r="7">
      <c r="A7" s="6" t="s">
        <v>8</v>
      </c>
      <c r="B7" s="4">
        <v>1.68E7</v>
      </c>
      <c r="C7" s="5">
        <v>1878.98</v>
      </c>
      <c r="D7" s="5" t="s">
        <v>7</v>
      </c>
    </row>
    <row r="8">
      <c r="A8" s="8">
        <v>46032.0</v>
      </c>
      <c r="B8" s="4">
        <f>3440000+800000</f>
        <v>4240000</v>
      </c>
      <c r="C8" s="5">
        <f>B8/8900</f>
        <v>476.4044944</v>
      </c>
      <c r="D8" s="5" t="s">
        <v>7</v>
      </c>
    </row>
    <row r="9">
      <c r="A9" s="8">
        <v>46091.0</v>
      </c>
      <c r="B9" s="4">
        <f>2050000+830000+415000+415000+300000+200000+9960000</f>
        <v>14170000</v>
      </c>
      <c r="C9" s="5">
        <v>1389.59</v>
      </c>
      <c r="D9" s="5" t="s">
        <v>7</v>
      </c>
    </row>
    <row r="10">
      <c r="A10" s="8">
        <v>46091.0</v>
      </c>
      <c r="B10" s="4">
        <v>1012500.0</v>
      </c>
      <c r="C10" s="5">
        <v>117.3</v>
      </c>
      <c r="D10" s="5" t="s">
        <v>7</v>
      </c>
    </row>
    <row r="11">
      <c r="A11" s="8">
        <v>46091.0</v>
      </c>
      <c r="B11" s="4">
        <v>810000.0</v>
      </c>
      <c r="C11" s="5">
        <v>91.57</v>
      </c>
      <c r="D11" s="5" t="s">
        <v>7</v>
      </c>
    </row>
    <row r="12">
      <c r="A12" s="8">
        <v>46122.0</v>
      </c>
      <c r="B12" s="4">
        <v>830000.0</v>
      </c>
      <c r="C12" s="5">
        <v>93.83</v>
      </c>
      <c r="D12" s="5" t="s">
        <v>7</v>
      </c>
    </row>
    <row r="13">
      <c r="A13" s="8">
        <v>46152.0</v>
      </c>
      <c r="B13" s="4">
        <v>200000.0</v>
      </c>
      <c r="C13" s="5">
        <v>22.64</v>
      </c>
      <c r="D13" s="5" t="s">
        <v>7</v>
      </c>
    </row>
    <row r="14">
      <c r="A14" s="8">
        <v>46305.0</v>
      </c>
      <c r="B14" s="4">
        <v>300000.0</v>
      </c>
      <c r="C14" s="5">
        <v>32.62</v>
      </c>
      <c r="D14" s="5" t="s">
        <v>12</v>
      </c>
    </row>
    <row r="15">
      <c r="A15" s="11">
        <v>46366.0</v>
      </c>
      <c r="B15" s="4">
        <v>9900000.0</v>
      </c>
      <c r="C15" s="7">
        <f>B15/9628</f>
        <v>1028.250935</v>
      </c>
      <c r="D15" s="5" t="s">
        <v>7</v>
      </c>
    </row>
    <row r="16">
      <c r="A16" s="12" t="s">
        <v>14</v>
      </c>
      <c r="B16" s="4">
        <v>2275000.0</v>
      </c>
      <c r="C16" s="5">
        <v>232.14</v>
      </c>
      <c r="D16" s="5" t="s">
        <v>7</v>
      </c>
    </row>
    <row r="17">
      <c r="A17" s="12" t="s">
        <v>11</v>
      </c>
      <c r="B17" s="7">
        <f>920000+2993100+5000000+1000000+450000+3000000</f>
        <v>13363100</v>
      </c>
      <c r="C17" s="5">
        <v>1298.65</v>
      </c>
      <c r="D17" s="5" t="s">
        <v>7</v>
      </c>
    </row>
    <row r="18">
      <c r="A18" s="12" t="s">
        <v>16</v>
      </c>
      <c r="B18" s="4">
        <v>3000000.0</v>
      </c>
      <c r="C18" s="5">
        <v>295.3</v>
      </c>
      <c r="D18" s="5" t="s">
        <v>7</v>
      </c>
    </row>
    <row r="19">
      <c r="A19" s="12" t="s">
        <v>17</v>
      </c>
      <c r="B19" s="4">
        <f>500000+505000+4200000+200000+5436000</f>
        <v>10841000</v>
      </c>
      <c r="C19" s="5">
        <v>991.95</v>
      </c>
      <c r="D19" s="5" t="s">
        <v>7</v>
      </c>
    </row>
    <row r="23">
      <c r="A23" s="9"/>
    </row>
    <row r="24">
      <c r="A24" s="9"/>
    </row>
    <row r="25">
      <c r="A25" s="9"/>
    </row>
    <row r="26">
      <c r="A26" s="9"/>
    </row>
    <row r="27">
      <c r="A27" s="9"/>
    </row>
    <row r="28">
      <c r="A28" s="9"/>
    </row>
    <row r="29">
      <c r="A29" s="9"/>
    </row>
    <row r="30">
      <c r="A30" s="9"/>
    </row>
    <row r="31">
      <c r="A31" s="9"/>
    </row>
    <row r="32">
      <c r="A32" s="9"/>
    </row>
    <row r="33">
      <c r="A33" s="9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2</v>
      </c>
      <c r="C1" s="2" t="s">
        <v>3</v>
      </c>
      <c r="D1" s="2" t="s">
        <v>6</v>
      </c>
    </row>
    <row r="2">
      <c r="A2" s="6">
        <v>46212.0</v>
      </c>
      <c r="B2" s="4">
        <v>9150000.0</v>
      </c>
      <c r="C2" s="4">
        <v>5000.0</v>
      </c>
      <c r="D2" s="5" t="s">
        <v>7</v>
      </c>
    </row>
    <row r="3">
      <c r="A3" s="6">
        <v>46243.0</v>
      </c>
      <c r="B3" s="4">
        <v>3750000.0</v>
      </c>
      <c r="C3" s="7">
        <f>B3/1840</f>
        <v>2038.043478</v>
      </c>
      <c r="D3" s="5" t="s">
        <v>7</v>
      </c>
    </row>
    <row r="4">
      <c r="A4" s="6">
        <v>46335.0</v>
      </c>
      <c r="B4" s="7">
        <f>C4*1840</f>
        <v>920000</v>
      </c>
      <c r="C4" s="5">
        <v>500.0</v>
      </c>
      <c r="D4" s="5" t="s">
        <v>7</v>
      </c>
    </row>
    <row r="5">
      <c r="A5" s="3" t="s">
        <v>13</v>
      </c>
      <c r="B5" s="5">
        <v>5000000.0</v>
      </c>
      <c r="C5" s="7">
        <f t="shared" ref="C5:C6" si="1">B5/1930</f>
        <v>2590.673575</v>
      </c>
      <c r="D5" s="5" t="s">
        <v>7</v>
      </c>
    </row>
    <row r="6">
      <c r="A6" s="3" t="s">
        <v>15</v>
      </c>
      <c r="B6" s="5">
        <v>3107300.0</v>
      </c>
      <c r="C6" s="7">
        <f t="shared" si="1"/>
        <v>1610</v>
      </c>
      <c r="D6" s="5" t="s">
        <v>7</v>
      </c>
    </row>
    <row r="7">
      <c r="A7" s="8">
        <v>46032.0</v>
      </c>
      <c r="B7" s="4">
        <v>3000000.0</v>
      </c>
      <c r="C7" s="5">
        <v>1500.0</v>
      </c>
      <c r="D7" s="5" t="s">
        <v>7</v>
      </c>
    </row>
    <row r="8">
      <c r="A8" s="9"/>
    </row>
    <row r="9">
      <c r="A9" s="9"/>
    </row>
    <row r="10">
      <c r="A10" s="9"/>
    </row>
    <row r="11">
      <c r="A11" s="9"/>
    </row>
    <row r="12">
      <c r="A12" s="9"/>
    </row>
    <row r="13">
      <c r="A13" s="9"/>
    </row>
    <row r="14">
      <c r="A14" s="9"/>
    </row>
    <row r="15">
      <c r="A15" s="9"/>
    </row>
    <row r="16">
      <c r="A16" s="9"/>
    </row>
    <row r="17">
      <c r="A17" s="9"/>
    </row>
    <row r="18">
      <c r="A18" s="9"/>
    </row>
    <row r="19">
      <c r="A19" s="9"/>
    </row>
    <row r="20">
      <c r="A20" s="9"/>
    </row>
    <row r="21">
      <c r="A21" s="9"/>
    </row>
    <row r="22">
      <c r="A22" s="9"/>
    </row>
    <row r="23">
      <c r="A23" s="9"/>
    </row>
    <row r="24">
      <c r="A24" s="9"/>
    </row>
    <row r="25">
      <c r="A25" s="9"/>
    </row>
    <row r="26">
      <c r="A26" s="9"/>
    </row>
    <row r="27">
      <c r="A27" s="9"/>
    </row>
    <row r="28">
      <c r="A28" s="9"/>
    </row>
    <row r="29">
      <c r="A29" s="9"/>
    </row>
    <row r="30">
      <c r="A30" s="9"/>
    </row>
    <row r="31">
      <c r="A31" s="9"/>
    </row>
    <row r="32">
      <c r="A32" s="9"/>
    </row>
    <row r="33">
      <c r="A33" s="9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2</v>
      </c>
      <c r="C1" s="2" t="s">
        <v>3</v>
      </c>
      <c r="D1" s="2" t="s">
        <v>6</v>
      </c>
    </row>
    <row r="2">
      <c r="A2" s="13">
        <v>46212.0</v>
      </c>
      <c r="B2" s="4">
        <v>1.281E7</v>
      </c>
      <c r="C2" s="4">
        <v>7000.0</v>
      </c>
      <c r="D2" s="5" t="s">
        <v>7</v>
      </c>
    </row>
    <row r="3">
      <c r="A3" s="13">
        <v>46274.0</v>
      </c>
      <c r="B3" s="4">
        <f>3000*1830</f>
        <v>5490000</v>
      </c>
      <c r="C3" s="4">
        <v>3000.0</v>
      </c>
      <c r="D3" s="5" t="s">
        <v>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2</v>
      </c>
      <c r="C1" s="2" t="s">
        <v>5</v>
      </c>
      <c r="D1" s="2" t="s">
        <v>6</v>
      </c>
      <c r="E1" s="2" t="s">
        <v>18</v>
      </c>
    </row>
    <row r="2">
      <c r="A2" s="6">
        <v>46062.0</v>
      </c>
      <c r="B2" s="4">
        <v>550000.0</v>
      </c>
      <c r="C2" s="5" t="s">
        <v>19</v>
      </c>
      <c r="D2" s="5" t="s">
        <v>7</v>
      </c>
      <c r="E2" s="5" t="s">
        <v>20</v>
      </c>
    </row>
    <row r="3">
      <c r="A3" s="6">
        <v>46090.0</v>
      </c>
      <c r="B3" s="4">
        <v>250000.0</v>
      </c>
      <c r="C3" s="5" t="s">
        <v>19</v>
      </c>
      <c r="D3" s="5" t="s">
        <v>7</v>
      </c>
      <c r="E3" s="5" t="s">
        <v>20</v>
      </c>
    </row>
    <row r="4">
      <c r="A4" s="6">
        <v>46090.0</v>
      </c>
      <c r="B4" s="4">
        <v>2195500.0</v>
      </c>
      <c r="C4" s="5">
        <v>409.5</v>
      </c>
      <c r="D4" s="5" t="s">
        <v>7</v>
      </c>
      <c r="E4" s="5" t="s">
        <v>20</v>
      </c>
    </row>
    <row r="5">
      <c r="A5" s="6">
        <v>46121.0</v>
      </c>
      <c r="B5" s="4">
        <v>700000.0</v>
      </c>
      <c r="C5" s="5">
        <v>91.13</v>
      </c>
      <c r="D5" s="5" t="s">
        <v>7</v>
      </c>
      <c r="E5" s="5" t="s">
        <v>20</v>
      </c>
    </row>
    <row r="6">
      <c r="A6" s="6">
        <v>46121.0</v>
      </c>
      <c r="B6" s="4">
        <v>2900000.0</v>
      </c>
      <c r="C6" s="5">
        <v>374.19</v>
      </c>
      <c r="D6" s="5" t="s">
        <v>7</v>
      </c>
      <c r="E6" s="5" t="s">
        <v>20</v>
      </c>
    </row>
    <row r="7">
      <c r="A7" s="6">
        <v>46243.0</v>
      </c>
      <c r="B7" s="4">
        <v>3250000.0</v>
      </c>
      <c r="C7" s="5">
        <v>426.12</v>
      </c>
      <c r="D7" s="5" t="s">
        <v>7</v>
      </c>
      <c r="E7" s="5" t="s">
        <v>21</v>
      </c>
    </row>
    <row r="8">
      <c r="A8" s="6">
        <v>46274.0</v>
      </c>
      <c r="B8" s="4">
        <v>2760000.0</v>
      </c>
      <c r="C8" s="5">
        <v>361.87</v>
      </c>
      <c r="D8" s="5" t="s">
        <v>7</v>
      </c>
      <c r="E8" s="5" t="s">
        <v>21</v>
      </c>
    </row>
    <row r="9">
      <c r="A9" s="6">
        <v>46304.0</v>
      </c>
      <c r="B9" s="4">
        <v>345000.0</v>
      </c>
      <c r="C9" s="7">
        <f t="shared" ref="C9:C11" si="1">B9/($B$8/$C$8)</f>
        <v>45.23375</v>
      </c>
      <c r="D9" s="5" t="s">
        <v>7</v>
      </c>
      <c r="E9" s="5" t="s">
        <v>23</v>
      </c>
    </row>
    <row r="10">
      <c r="A10" s="6">
        <v>46335.0</v>
      </c>
      <c r="B10" s="4">
        <v>300000.0</v>
      </c>
      <c r="C10" s="7">
        <f t="shared" si="1"/>
        <v>39.33369565</v>
      </c>
      <c r="D10" s="5" t="s">
        <v>7</v>
      </c>
      <c r="E10" s="5" t="s">
        <v>23</v>
      </c>
    </row>
    <row r="11">
      <c r="A11" s="6">
        <v>46365.0</v>
      </c>
      <c r="B11" s="4">
        <v>710000.0</v>
      </c>
      <c r="C11" s="7">
        <f t="shared" si="1"/>
        <v>93.08974638</v>
      </c>
      <c r="D11" s="5" t="s">
        <v>7</v>
      </c>
      <c r="E11" s="5" t="s">
        <v>23</v>
      </c>
    </row>
    <row r="12">
      <c r="A12" s="3" t="s">
        <v>24</v>
      </c>
      <c r="B12" s="4">
        <v>1330000.0</v>
      </c>
      <c r="C12" s="5">
        <v>172.84</v>
      </c>
      <c r="D12" s="5" t="s">
        <v>7</v>
      </c>
      <c r="E12" s="5" t="s">
        <v>21</v>
      </c>
      <c r="F12" s="17" t="s">
        <v>25</v>
      </c>
    </row>
    <row r="13">
      <c r="A13" s="18" t="s">
        <v>26</v>
      </c>
      <c r="B13" s="4">
        <v>315000.0</v>
      </c>
      <c r="C13" s="5" t="s">
        <v>19</v>
      </c>
      <c r="D13" s="5" t="s">
        <v>12</v>
      </c>
      <c r="E13" s="5" t="s">
        <v>27</v>
      </c>
    </row>
    <row r="14">
      <c r="A14" s="3" t="s">
        <v>26</v>
      </c>
      <c r="B14" s="4">
        <v>1.5E7</v>
      </c>
      <c r="C14" s="5">
        <v>1735.07</v>
      </c>
      <c r="D14" s="5" t="s">
        <v>7</v>
      </c>
      <c r="E14" s="5" t="s">
        <v>21</v>
      </c>
      <c r="F14" s="17" t="s">
        <v>28</v>
      </c>
    </row>
    <row r="15">
      <c r="A15" s="3" t="s">
        <v>15</v>
      </c>
      <c r="B15" s="4">
        <v>3800000.0</v>
      </c>
      <c r="C15" s="5">
        <v>468.89</v>
      </c>
      <c r="D15" s="5" t="s">
        <v>7</v>
      </c>
      <c r="E15" s="5" t="s">
        <v>21</v>
      </c>
    </row>
    <row r="16">
      <c r="A16" s="3" t="s">
        <v>29</v>
      </c>
      <c r="B16" s="4">
        <v>2025000.0</v>
      </c>
      <c r="C16" s="5">
        <v>236.26</v>
      </c>
      <c r="D16" s="5" t="s">
        <v>7</v>
      </c>
      <c r="E16" s="5" t="s">
        <v>21</v>
      </c>
    </row>
    <row r="17">
      <c r="A17" s="3" t="s">
        <v>29</v>
      </c>
      <c r="B17" s="4">
        <v>1000000.0</v>
      </c>
      <c r="C17" s="5">
        <v>116.17</v>
      </c>
      <c r="D17" s="5" t="s">
        <v>7</v>
      </c>
      <c r="E17" s="5" t="s">
        <v>21</v>
      </c>
    </row>
    <row r="18">
      <c r="A18" s="3" t="s">
        <v>31</v>
      </c>
      <c r="B18" s="4">
        <v>830000.0</v>
      </c>
      <c r="C18" s="5">
        <v>93.6</v>
      </c>
      <c r="D18" s="5" t="s">
        <v>7</v>
      </c>
      <c r="E18" s="5" t="s">
        <v>21</v>
      </c>
    </row>
    <row r="19">
      <c r="A19" s="3" t="s">
        <v>32</v>
      </c>
      <c r="B19" s="4">
        <v>1000000.0</v>
      </c>
      <c r="C19" s="5">
        <v>114.77</v>
      </c>
      <c r="D19" s="5" t="s">
        <v>7</v>
      </c>
      <c r="E19" s="5" t="s">
        <v>21</v>
      </c>
    </row>
    <row r="20">
      <c r="A20" s="3" t="s">
        <v>32</v>
      </c>
      <c r="B20" s="4">
        <v>2620800.0</v>
      </c>
      <c r="C20" s="5">
        <v>300.0</v>
      </c>
      <c r="D20" s="5" t="s">
        <v>7</v>
      </c>
      <c r="E20" s="5" t="s">
        <v>21</v>
      </c>
    </row>
    <row r="21">
      <c r="A21" s="3" t="s">
        <v>34</v>
      </c>
      <c r="B21" s="4">
        <v>2062500.0</v>
      </c>
      <c r="C21" s="5">
        <v>236.09</v>
      </c>
      <c r="D21" s="5" t="s">
        <v>7</v>
      </c>
      <c r="E21" s="5" t="s">
        <v>21</v>
      </c>
    </row>
    <row r="22">
      <c r="A22" s="3" t="s">
        <v>34</v>
      </c>
      <c r="B22" s="4">
        <v>2644800.0</v>
      </c>
      <c r="C22" s="5">
        <v>300.0</v>
      </c>
      <c r="D22" s="5" t="s">
        <v>7</v>
      </c>
      <c r="E22" s="5" t="s">
        <v>21</v>
      </c>
    </row>
    <row r="23">
      <c r="A23" s="3" t="s">
        <v>36</v>
      </c>
      <c r="B23" s="4">
        <v>820000.0</v>
      </c>
      <c r="C23" s="5">
        <v>93.35</v>
      </c>
      <c r="D23" s="5" t="s">
        <v>7</v>
      </c>
      <c r="E23" s="5" t="s">
        <v>21</v>
      </c>
    </row>
    <row r="24">
      <c r="A24" s="3" t="s">
        <v>36</v>
      </c>
      <c r="B24" s="4">
        <v>356000.0</v>
      </c>
      <c r="C24" s="5">
        <v>40.05</v>
      </c>
      <c r="D24" s="5" t="s">
        <v>7</v>
      </c>
      <c r="E24" s="5" t="s">
        <v>21</v>
      </c>
    </row>
    <row r="25">
      <c r="A25" s="3" t="s">
        <v>36</v>
      </c>
      <c r="B25" s="4">
        <v>500000.0</v>
      </c>
      <c r="C25" s="5">
        <v>57.0</v>
      </c>
      <c r="D25" s="5" t="s">
        <v>7</v>
      </c>
      <c r="E25" s="5" t="s">
        <v>20</v>
      </c>
    </row>
    <row r="26">
      <c r="A26" s="3" t="s">
        <v>36</v>
      </c>
      <c r="B26" s="4">
        <v>1580000.0</v>
      </c>
      <c r="C26" s="5">
        <v>176.42</v>
      </c>
      <c r="D26" s="5" t="s">
        <v>7</v>
      </c>
      <c r="E26" s="5" t="s">
        <v>21</v>
      </c>
      <c r="F26" s="20" t="s">
        <v>37</v>
      </c>
    </row>
    <row r="27">
      <c r="A27" s="6">
        <v>46032.0</v>
      </c>
      <c r="B27" s="4">
        <v>1680000.0</v>
      </c>
      <c r="C27" s="7">
        <f>B27/8000</f>
        <v>210</v>
      </c>
      <c r="D27" s="5" t="s">
        <v>7</v>
      </c>
      <c r="E27" s="5" t="s">
        <v>21</v>
      </c>
    </row>
    <row r="28">
      <c r="A28" s="6">
        <v>46032.0</v>
      </c>
      <c r="B28" s="4">
        <v>2370000.0</v>
      </c>
      <c r="C28" s="5">
        <v>263.0</v>
      </c>
      <c r="D28" s="5" t="s">
        <v>7</v>
      </c>
      <c r="E28" s="5" t="s">
        <v>21</v>
      </c>
      <c r="F28" s="20" t="s">
        <v>38</v>
      </c>
    </row>
    <row r="29">
      <c r="A29" s="6">
        <v>46063.0</v>
      </c>
      <c r="B29" s="4">
        <v>3200000.0</v>
      </c>
      <c r="C29" s="7">
        <f>B29/8900</f>
        <v>359.5505618</v>
      </c>
      <c r="D29" s="5" t="s">
        <v>7</v>
      </c>
      <c r="E29" s="5" t="s">
        <v>21</v>
      </c>
    </row>
    <row r="30">
      <c r="A30" s="6">
        <v>46152.0</v>
      </c>
      <c r="B30" s="4">
        <f>597750*2</f>
        <v>1195500</v>
      </c>
      <c r="C30" s="5">
        <v>133.23</v>
      </c>
      <c r="D30" s="5" t="s">
        <v>7</v>
      </c>
      <c r="E30" s="5" t="s">
        <v>21</v>
      </c>
      <c r="F30" s="17" t="s">
        <v>39</v>
      </c>
    </row>
    <row r="31">
      <c r="A31" s="6">
        <v>46244.0</v>
      </c>
      <c r="B31" s="4">
        <v>9840000.0</v>
      </c>
      <c r="C31" s="5">
        <v>1072.51</v>
      </c>
      <c r="D31" s="5" t="s">
        <v>7</v>
      </c>
      <c r="E31" s="5" t="s">
        <v>21</v>
      </c>
      <c r="F31" s="17" t="s">
        <v>40</v>
      </c>
    </row>
    <row r="32">
      <c r="A32" s="6">
        <v>46275.0</v>
      </c>
      <c r="B32" s="4">
        <v>2050000.0</v>
      </c>
      <c r="C32" s="5">
        <v>223.8</v>
      </c>
      <c r="D32" s="5" t="s">
        <v>7</v>
      </c>
      <c r="E32" s="5" t="s">
        <v>21</v>
      </c>
      <c r="F32" s="17" t="s">
        <v>41</v>
      </c>
    </row>
    <row r="33">
      <c r="A33" s="8">
        <v>46213.0</v>
      </c>
      <c r="B33" s="4">
        <v>800000.0</v>
      </c>
      <c r="C33" s="5">
        <v>86.86</v>
      </c>
      <c r="D33" s="5" t="s">
        <v>7</v>
      </c>
      <c r="E33" s="5" t="s">
        <v>21</v>
      </c>
    </row>
    <row r="34">
      <c r="A34" s="8">
        <v>46244.0</v>
      </c>
      <c r="B34" s="4">
        <f>2000000+1500000+1000000+410000+560000</f>
        <v>5470000</v>
      </c>
      <c r="C34" s="5">
        <v>618.26</v>
      </c>
      <c r="D34" s="5" t="s">
        <v>7</v>
      </c>
      <c r="E34" s="5" t="s">
        <v>21</v>
      </c>
    </row>
    <row r="35">
      <c r="A35" s="12" t="s">
        <v>42</v>
      </c>
      <c r="B35" s="4">
        <v>360000.0</v>
      </c>
      <c r="C35" s="5">
        <v>37.0</v>
      </c>
      <c r="D35" s="5" t="s">
        <v>7</v>
      </c>
      <c r="E35" s="5" t="s">
        <v>21</v>
      </c>
      <c r="F35" s="17" t="s">
        <v>43</v>
      </c>
    </row>
    <row r="36">
      <c r="A36" s="3" t="s">
        <v>11</v>
      </c>
      <c r="B36" s="5">
        <v>613200.0</v>
      </c>
      <c r="C36" s="5">
        <v>73.0</v>
      </c>
      <c r="D36" s="5" t="s">
        <v>7</v>
      </c>
      <c r="E36" s="5" t="s">
        <v>21</v>
      </c>
      <c r="F36" s="17" t="s">
        <v>44</v>
      </c>
    </row>
    <row r="37">
      <c r="A37" s="3" t="s">
        <v>11</v>
      </c>
      <c r="B37" s="4">
        <v>3943600.0</v>
      </c>
      <c r="C37" s="5">
        <v>400.0</v>
      </c>
      <c r="D37" s="5" t="s">
        <v>7</v>
      </c>
      <c r="E37" s="5" t="s">
        <v>21</v>
      </c>
    </row>
    <row r="38">
      <c r="A38" s="12" t="s">
        <v>45</v>
      </c>
      <c r="B38" s="4">
        <f>500000+150000+250000</f>
        <v>900000</v>
      </c>
      <c r="C38" s="5">
        <v>97.72</v>
      </c>
      <c r="D38" s="5" t="s">
        <v>7</v>
      </c>
      <c r="E38" s="5" t="s">
        <v>21</v>
      </c>
    </row>
    <row r="39">
      <c r="A39" s="12" t="s">
        <v>46</v>
      </c>
      <c r="B39" s="4">
        <f>1848800+1700000</f>
        <v>3548800</v>
      </c>
      <c r="C39" s="5">
        <v>383.9</v>
      </c>
      <c r="D39" s="5" t="s">
        <v>7</v>
      </c>
      <c r="E39" s="5" t="s">
        <v>21</v>
      </c>
    </row>
    <row r="40">
      <c r="A40" s="12" t="s">
        <v>47</v>
      </c>
      <c r="B40" s="7">
        <f>900000+180000</f>
        <v>1080000</v>
      </c>
      <c r="C40" s="5">
        <v>112.61</v>
      </c>
      <c r="D40" s="5" t="s">
        <v>7</v>
      </c>
      <c r="E40" s="5" t="s">
        <v>21</v>
      </c>
    </row>
    <row r="41">
      <c r="A41" s="12" t="s">
        <v>14</v>
      </c>
      <c r="B41" s="4">
        <v>8100000.0</v>
      </c>
      <c r="C41" s="5">
        <v>840.07</v>
      </c>
      <c r="D41" s="5" t="s">
        <v>7</v>
      </c>
      <c r="E41" s="5" t="s">
        <v>21</v>
      </c>
    </row>
    <row r="42">
      <c r="A42" s="12" t="s">
        <v>16</v>
      </c>
      <c r="B42" s="4">
        <v>2925000.0</v>
      </c>
      <c r="C42" s="5">
        <v>279.0</v>
      </c>
      <c r="D42" s="5" t="s">
        <v>7</v>
      </c>
      <c r="E42" s="5" t="s">
        <v>48</v>
      </c>
    </row>
    <row r="43">
      <c r="A43" s="12" t="s">
        <v>16</v>
      </c>
      <c r="B43" s="4">
        <v>1380000.0</v>
      </c>
      <c r="C43" s="5">
        <v>131.97</v>
      </c>
      <c r="D43" s="5" t="s">
        <v>7</v>
      </c>
      <c r="E43" s="5" t="s">
        <v>48</v>
      </c>
    </row>
    <row r="44">
      <c r="A44" s="12" t="s">
        <v>35</v>
      </c>
      <c r="B44" s="4">
        <v>1104000.0</v>
      </c>
      <c r="C44" s="5">
        <v>100.0</v>
      </c>
      <c r="D44" s="5" t="s">
        <v>7</v>
      </c>
      <c r="E44" s="5" t="s">
        <v>21</v>
      </c>
      <c r="F44" s="20" t="s">
        <v>49</v>
      </c>
    </row>
    <row r="45">
      <c r="A45" s="12" t="s">
        <v>50</v>
      </c>
      <c r="B45" s="4">
        <v>1840000.0</v>
      </c>
      <c r="C45" s="5">
        <v>163.0</v>
      </c>
      <c r="D45" s="5" t="s">
        <v>7</v>
      </c>
      <c r="E45" s="5" t="s">
        <v>21</v>
      </c>
      <c r="F45" s="20" t="s">
        <v>51</v>
      </c>
    </row>
    <row r="46">
      <c r="A46" s="18" t="s">
        <v>50</v>
      </c>
      <c r="B46" s="21">
        <v>1.0E7</v>
      </c>
      <c r="C46" s="22">
        <f>B46/10800</f>
        <v>925.9259259</v>
      </c>
      <c r="D46" s="23" t="s">
        <v>12</v>
      </c>
      <c r="E46" s="23" t="s">
        <v>20</v>
      </c>
    </row>
    <row r="47">
      <c r="A47" s="12" t="s">
        <v>52</v>
      </c>
      <c r="B47" s="4">
        <v>5500000.0</v>
      </c>
      <c r="C47" s="5">
        <v>496.93</v>
      </c>
      <c r="D47" s="5" t="s">
        <v>7</v>
      </c>
      <c r="E47" s="5" t="s">
        <v>48</v>
      </c>
    </row>
    <row r="48">
      <c r="A48" s="12" t="s">
        <v>53</v>
      </c>
      <c r="B48" s="4">
        <v>150000.0</v>
      </c>
      <c r="C48" s="5">
        <v>14.51</v>
      </c>
      <c r="D48" s="5" t="s">
        <v>7</v>
      </c>
      <c r="E48" s="5" t="s">
        <v>20</v>
      </c>
    </row>
    <row r="49">
      <c r="A49" s="12" t="s">
        <v>54</v>
      </c>
      <c r="B49" s="4">
        <f>3030000+1010000</f>
        <v>4040000</v>
      </c>
      <c r="C49" s="5">
        <v>375.29</v>
      </c>
      <c r="D49" s="5" t="s">
        <v>7</v>
      </c>
      <c r="E49" s="5" t="s">
        <v>20</v>
      </c>
    </row>
    <row r="50">
      <c r="A50" s="12" t="s">
        <v>55</v>
      </c>
      <c r="B50" s="4">
        <v>4400000.0</v>
      </c>
      <c r="C50" s="5">
        <v>409.0</v>
      </c>
      <c r="D50" s="5" t="s">
        <v>7</v>
      </c>
      <c r="E50" s="5" t="s">
        <v>20</v>
      </c>
    </row>
    <row r="51">
      <c r="A51" s="12" t="s">
        <v>55</v>
      </c>
      <c r="B51" s="4">
        <f>2600000+3610860+100000</f>
        <v>6310860</v>
      </c>
      <c r="D51" s="5" t="s">
        <v>12</v>
      </c>
      <c r="E51" s="5" t="s">
        <v>20</v>
      </c>
    </row>
    <row r="52">
      <c r="A52" s="12" t="s">
        <v>55</v>
      </c>
      <c r="B52" s="4">
        <v>1386000.0</v>
      </c>
      <c r="C52" s="7">
        <f>150/1.113</f>
        <v>134.7708895</v>
      </c>
      <c r="D52" s="5" t="s">
        <v>7</v>
      </c>
      <c r="E52" s="5" t="s">
        <v>21</v>
      </c>
      <c r="F52" s="20" t="s">
        <v>56</v>
      </c>
    </row>
    <row r="53">
      <c r="A53" s="12" t="s">
        <v>55</v>
      </c>
      <c r="B53" s="4">
        <f>739200*2</f>
        <v>1478400</v>
      </c>
      <c r="C53" s="7">
        <f>160/1.113</f>
        <v>143.7556155</v>
      </c>
      <c r="D53" s="5" t="s">
        <v>7</v>
      </c>
      <c r="E53" s="5" t="s">
        <v>21</v>
      </c>
      <c r="F53" s="20" t="s">
        <v>57</v>
      </c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  <row r="1001">
      <c r="A1001" s="9"/>
    </row>
    <row r="1002">
      <c r="A1002" s="9"/>
    </row>
    <row r="1003">
      <c r="A1003" s="9"/>
    </row>
    <row r="1004">
      <c r="A1004" s="9"/>
    </row>
    <row r="1005">
      <c r="A1005" s="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2</v>
      </c>
      <c r="C1" s="2" t="s">
        <v>22</v>
      </c>
      <c r="D1" s="2" t="s">
        <v>6</v>
      </c>
    </row>
    <row r="2">
      <c r="A2" s="14">
        <v>46090.0</v>
      </c>
      <c r="B2" s="4">
        <v>366000.0</v>
      </c>
      <c r="C2" s="4">
        <f>B2/1840</f>
        <v>198.9130435</v>
      </c>
      <c r="D2" s="5" t="s">
        <v>12</v>
      </c>
    </row>
    <row r="3">
      <c r="A3" s="6">
        <v>46121.0</v>
      </c>
      <c r="B3" s="4">
        <v>1.5E7</v>
      </c>
      <c r="C3" s="4">
        <v>8152.0</v>
      </c>
      <c r="D3" s="5" t="s">
        <v>7</v>
      </c>
    </row>
    <row r="4">
      <c r="A4" s="6">
        <v>46121.0</v>
      </c>
      <c r="B4" s="4">
        <v>1.2E7</v>
      </c>
      <c r="C4" s="5">
        <f t="shared" ref="C4:C11" si="1">B4/1840</f>
        <v>6521.73913</v>
      </c>
      <c r="D4" s="5" t="s">
        <v>7</v>
      </c>
    </row>
    <row r="5">
      <c r="A5" s="6">
        <v>46212.0</v>
      </c>
      <c r="B5" s="15">
        <v>1.1E7</v>
      </c>
      <c r="C5" s="16">
        <f t="shared" si="1"/>
        <v>5978.26087</v>
      </c>
      <c r="D5" s="5" t="s">
        <v>7</v>
      </c>
    </row>
    <row r="6">
      <c r="A6" s="6">
        <v>46243.0</v>
      </c>
      <c r="B6" s="15">
        <v>1.175E7</v>
      </c>
      <c r="C6" s="7">
        <f t="shared" si="1"/>
        <v>6385.869565</v>
      </c>
      <c r="D6" s="5" t="s">
        <v>7</v>
      </c>
    </row>
    <row r="7">
      <c r="A7" s="6">
        <v>46274.0</v>
      </c>
      <c r="B7" s="15">
        <v>1.2E7</v>
      </c>
      <c r="C7" s="7">
        <f t="shared" si="1"/>
        <v>6521.73913</v>
      </c>
      <c r="D7" s="5" t="s">
        <v>7</v>
      </c>
    </row>
    <row r="8">
      <c r="A8" s="6">
        <v>46304.0</v>
      </c>
      <c r="B8" s="4">
        <v>9000000.0</v>
      </c>
      <c r="C8" s="7">
        <f t="shared" si="1"/>
        <v>4891.304348</v>
      </c>
      <c r="D8" s="5" t="s">
        <v>7</v>
      </c>
    </row>
    <row r="9">
      <c r="A9" s="14">
        <v>46335.0</v>
      </c>
      <c r="B9" s="4">
        <v>200000.0</v>
      </c>
      <c r="C9" s="7">
        <f t="shared" si="1"/>
        <v>108.6956522</v>
      </c>
      <c r="D9" s="5" t="s">
        <v>12</v>
      </c>
    </row>
    <row r="10">
      <c r="A10" s="6">
        <v>46335.0</v>
      </c>
      <c r="B10" s="4">
        <v>1.2E7</v>
      </c>
      <c r="C10" s="7">
        <f t="shared" si="1"/>
        <v>6521.73913</v>
      </c>
      <c r="D10" s="5" t="s">
        <v>7</v>
      </c>
    </row>
    <row r="11">
      <c r="A11" s="6">
        <v>46365.0</v>
      </c>
      <c r="B11" s="4">
        <v>1.0E7</v>
      </c>
      <c r="C11" s="7">
        <f t="shared" si="1"/>
        <v>5434.782609</v>
      </c>
      <c r="D11" s="5" t="s">
        <v>7</v>
      </c>
    </row>
    <row r="12">
      <c r="A12" s="6" t="s">
        <v>24</v>
      </c>
      <c r="B12" s="19">
        <v>1.3E7</v>
      </c>
      <c r="C12" s="7">
        <f>B12/1900</f>
        <v>6842.105263</v>
      </c>
      <c r="D12" s="5" t="s">
        <v>7</v>
      </c>
    </row>
    <row r="13">
      <c r="A13" s="18" t="s">
        <v>26</v>
      </c>
      <c r="B13" s="15">
        <v>100000.0</v>
      </c>
      <c r="C13" s="7">
        <f t="shared" ref="C13:C15" si="2">B13/2150</f>
        <v>46.51162791</v>
      </c>
      <c r="D13" s="5" t="s">
        <v>12</v>
      </c>
    </row>
    <row r="14">
      <c r="A14" s="3" t="s">
        <v>26</v>
      </c>
      <c r="B14" s="19">
        <v>1.0E7</v>
      </c>
      <c r="C14" s="7">
        <f t="shared" si="2"/>
        <v>4651.162791</v>
      </c>
      <c r="D14" s="5" t="s">
        <v>7</v>
      </c>
    </row>
    <row r="15">
      <c r="A15" s="3" t="s">
        <v>30</v>
      </c>
      <c r="B15" s="19">
        <v>1.2E7</v>
      </c>
      <c r="C15" s="7">
        <f t="shared" si="2"/>
        <v>5581.395349</v>
      </c>
      <c r="D15" s="5" t="s">
        <v>7</v>
      </c>
    </row>
    <row r="16">
      <c r="A16" s="3" t="s">
        <v>13</v>
      </c>
      <c r="B16" s="19">
        <v>1.0E7</v>
      </c>
      <c r="C16" s="7">
        <f t="shared" ref="C16:C19" si="3">B16/2000</f>
        <v>5000</v>
      </c>
      <c r="D16" s="5" t="s">
        <v>7</v>
      </c>
    </row>
    <row r="17">
      <c r="A17" s="3" t="s">
        <v>15</v>
      </c>
      <c r="B17" s="19">
        <v>8000000.0</v>
      </c>
      <c r="C17" s="7">
        <f t="shared" si="3"/>
        <v>4000</v>
      </c>
      <c r="D17" s="5" t="s">
        <v>7</v>
      </c>
    </row>
    <row r="18">
      <c r="A18" s="3" t="s">
        <v>33</v>
      </c>
      <c r="B18" s="19">
        <v>8000000.0</v>
      </c>
      <c r="C18" s="7">
        <f t="shared" si="3"/>
        <v>4000</v>
      </c>
      <c r="D18" s="5" t="s">
        <v>7</v>
      </c>
    </row>
    <row r="19">
      <c r="A19" s="14">
        <v>46032.0</v>
      </c>
      <c r="B19" s="4">
        <v>300000.0</v>
      </c>
      <c r="C19" s="7">
        <f t="shared" si="3"/>
        <v>150</v>
      </c>
      <c r="D19" s="5" t="s">
        <v>12</v>
      </c>
    </row>
    <row r="20">
      <c r="A20" s="14">
        <v>46244.0</v>
      </c>
      <c r="B20" s="4">
        <v>500000.0</v>
      </c>
      <c r="C20" s="5">
        <v>240.0</v>
      </c>
      <c r="D20" s="5" t="s">
        <v>12</v>
      </c>
    </row>
    <row r="21">
      <c r="A21" s="12" t="s">
        <v>35</v>
      </c>
      <c r="B21" s="4">
        <v>1800000.0</v>
      </c>
      <c r="C21" s="5">
        <v>818.0</v>
      </c>
      <c r="D21" s="5" t="s">
        <v>12</v>
      </c>
    </row>
    <row r="22">
      <c r="A22" s="9"/>
    </row>
    <row r="23">
      <c r="A23" s="9"/>
    </row>
    <row r="24">
      <c r="A24" s="9"/>
    </row>
    <row r="25">
      <c r="A25" s="9"/>
    </row>
    <row r="26">
      <c r="A26" s="9"/>
    </row>
    <row r="27">
      <c r="A27" s="9"/>
    </row>
    <row r="28">
      <c r="A28" s="9"/>
    </row>
    <row r="29">
      <c r="A29" s="9"/>
    </row>
    <row r="30">
      <c r="A30" s="9"/>
    </row>
    <row r="31">
      <c r="A31" s="9"/>
    </row>
    <row r="32">
      <c r="A32" s="9"/>
    </row>
    <row r="33">
      <c r="A33" s="9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  <row r="1001">
      <c r="A1001" s="9"/>
    </row>
    <row r="1002">
      <c r="A1002" s="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38"/>
  </cols>
  <sheetData>
    <row r="1">
      <c r="A1" s="1" t="s">
        <v>0</v>
      </c>
      <c r="B1" s="2" t="s">
        <v>3</v>
      </c>
      <c r="C1" s="2" t="s">
        <v>5</v>
      </c>
      <c r="D1" s="2" t="s">
        <v>6</v>
      </c>
      <c r="E1" s="2" t="s">
        <v>18</v>
      </c>
    </row>
    <row r="2">
      <c r="A2" s="6">
        <v>46243.0</v>
      </c>
      <c r="B2" s="4">
        <v>1000.0</v>
      </c>
      <c r="C2" s="4">
        <v>227.4</v>
      </c>
      <c r="D2" s="5" t="s">
        <v>7</v>
      </c>
      <c r="E2" s="5" t="s">
        <v>48</v>
      </c>
    </row>
    <row r="3">
      <c r="A3" s="6">
        <v>46243.0</v>
      </c>
      <c r="B3" s="4">
        <v>2000.0</v>
      </c>
      <c r="C3" s="5">
        <v>458.85</v>
      </c>
      <c r="D3" s="5" t="s">
        <v>7</v>
      </c>
      <c r="E3" s="5" t="s">
        <v>20</v>
      </c>
    </row>
    <row r="4">
      <c r="A4" s="6">
        <v>46243.0</v>
      </c>
      <c r="B4" s="4">
        <v>2000.0</v>
      </c>
      <c r="C4" s="16">
        <v>459.0</v>
      </c>
      <c r="D4" s="5" t="s">
        <v>7</v>
      </c>
      <c r="E4" s="5" t="s">
        <v>48</v>
      </c>
    </row>
    <row r="5">
      <c r="A5" s="6">
        <v>46304.0</v>
      </c>
      <c r="B5" s="4">
        <v>1500.0</v>
      </c>
      <c r="C5" s="5">
        <v>358.0</v>
      </c>
      <c r="D5" s="5" t="s">
        <v>7</v>
      </c>
      <c r="E5" s="5" t="s">
        <v>48</v>
      </c>
    </row>
    <row r="6">
      <c r="A6" s="6">
        <v>46335.0</v>
      </c>
      <c r="B6" s="4">
        <v>372.0</v>
      </c>
      <c r="C6" s="5">
        <v>87.0</v>
      </c>
      <c r="D6" s="5" t="s">
        <v>7</v>
      </c>
      <c r="E6" s="5" t="s">
        <v>48</v>
      </c>
    </row>
    <row r="7">
      <c r="A7" s="3" t="s">
        <v>9</v>
      </c>
      <c r="B7" s="5">
        <v>3001.0</v>
      </c>
      <c r="C7" s="5">
        <v>690.0</v>
      </c>
      <c r="D7" s="5" t="s">
        <v>7</v>
      </c>
      <c r="E7" s="5" t="s">
        <v>48</v>
      </c>
    </row>
    <row r="8">
      <c r="A8" s="3" t="s">
        <v>13</v>
      </c>
      <c r="B8" s="5">
        <v>1250.0</v>
      </c>
      <c r="C8" s="5">
        <v>288.0</v>
      </c>
      <c r="D8" s="5" t="s">
        <v>7</v>
      </c>
      <c r="E8" s="5" t="s">
        <v>48</v>
      </c>
    </row>
    <row r="9">
      <c r="A9" s="3" t="s">
        <v>26</v>
      </c>
      <c r="B9" s="5">
        <v>3493.0</v>
      </c>
      <c r="C9" s="5">
        <v>803.0</v>
      </c>
      <c r="D9" s="5" t="s">
        <v>7</v>
      </c>
      <c r="E9" s="5" t="s">
        <v>58</v>
      </c>
    </row>
    <row r="10">
      <c r="A10" s="3" t="s">
        <v>15</v>
      </c>
      <c r="B10" s="5">
        <v>1200.0</v>
      </c>
      <c r="C10" s="5">
        <v>281.0</v>
      </c>
      <c r="D10" s="5" t="s">
        <v>7</v>
      </c>
      <c r="E10" s="5" t="s">
        <v>48</v>
      </c>
    </row>
    <row r="11">
      <c r="A11" s="6">
        <v>46274.0</v>
      </c>
      <c r="B11" s="5">
        <v>437.0</v>
      </c>
      <c r="C11" s="5">
        <v>100.0</v>
      </c>
      <c r="D11" s="5" t="s">
        <v>7</v>
      </c>
      <c r="E11" s="5" t="s">
        <v>48</v>
      </c>
    </row>
    <row r="12">
      <c r="A12" s="3" t="s">
        <v>15</v>
      </c>
      <c r="B12" s="5">
        <v>65.0</v>
      </c>
      <c r="C12" s="5">
        <v>15.0</v>
      </c>
      <c r="D12" s="5" t="s">
        <v>7</v>
      </c>
      <c r="E12" s="5" t="s">
        <v>48</v>
      </c>
    </row>
    <row r="13">
      <c r="A13" s="3" t="s">
        <v>8</v>
      </c>
      <c r="B13" s="5">
        <v>1654.0</v>
      </c>
      <c r="C13" s="5">
        <v>384.0</v>
      </c>
      <c r="D13" s="5" t="s">
        <v>7</v>
      </c>
      <c r="E13" s="5" t="s">
        <v>48</v>
      </c>
    </row>
    <row r="14">
      <c r="A14" s="3" t="s">
        <v>8</v>
      </c>
      <c r="B14" s="5">
        <v>215.0</v>
      </c>
      <c r="C14" s="5">
        <v>50.0</v>
      </c>
      <c r="D14" s="5" t="s">
        <v>7</v>
      </c>
      <c r="E14" s="5" t="s">
        <v>48</v>
      </c>
    </row>
    <row r="15">
      <c r="A15" s="3" t="s">
        <v>29</v>
      </c>
      <c r="B15" s="5">
        <v>427.0</v>
      </c>
      <c r="C15" s="5">
        <v>100.0</v>
      </c>
      <c r="D15" s="5" t="s">
        <v>7</v>
      </c>
      <c r="E15" s="5" t="s">
        <v>48</v>
      </c>
    </row>
    <row r="16">
      <c r="A16" s="3" t="s">
        <v>8</v>
      </c>
      <c r="B16" s="5">
        <v>860.0</v>
      </c>
      <c r="C16" s="5">
        <v>200.0</v>
      </c>
      <c r="D16" s="5" t="s">
        <v>7</v>
      </c>
      <c r="E16" s="5" t="s">
        <v>58</v>
      </c>
    </row>
    <row r="17">
      <c r="A17" s="6">
        <v>46032.0</v>
      </c>
      <c r="B17" s="5">
        <v>428.0</v>
      </c>
      <c r="C17" s="5">
        <v>100.0</v>
      </c>
      <c r="D17" s="5" t="s">
        <v>7</v>
      </c>
      <c r="E17" s="5" t="s">
        <v>58</v>
      </c>
    </row>
    <row r="18">
      <c r="A18" s="6">
        <v>46032.0</v>
      </c>
      <c r="B18" s="5">
        <v>300.0</v>
      </c>
      <c r="C18" s="5">
        <v>70.36</v>
      </c>
      <c r="D18" s="5" t="s">
        <v>7</v>
      </c>
      <c r="E18" s="5" t="s">
        <v>20</v>
      </c>
    </row>
    <row r="19">
      <c r="A19" s="6">
        <v>46336.0</v>
      </c>
      <c r="B19" s="5">
        <v>194.0</v>
      </c>
      <c r="C19" s="5">
        <v>46.0</v>
      </c>
      <c r="D19" s="5" t="s">
        <v>7</v>
      </c>
      <c r="E19" s="5" t="s">
        <v>58</v>
      </c>
    </row>
    <row r="20">
      <c r="A20" s="6">
        <v>46183.0</v>
      </c>
      <c r="B20" s="5">
        <v>422.0</v>
      </c>
      <c r="C20" s="5">
        <v>100.0</v>
      </c>
      <c r="D20" s="5" t="s">
        <v>7</v>
      </c>
      <c r="E20" s="5" t="s">
        <v>48</v>
      </c>
    </row>
    <row r="21">
      <c r="A21" s="6">
        <v>46366.0</v>
      </c>
      <c r="B21" s="5">
        <v>1013.0</v>
      </c>
      <c r="C21" s="5">
        <v>241.0</v>
      </c>
      <c r="D21" s="5" t="s">
        <v>7</v>
      </c>
      <c r="E21" s="5" t="s">
        <v>21</v>
      </c>
    </row>
    <row r="22">
      <c r="A22" s="6">
        <v>46366.0</v>
      </c>
      <c r="B22" s="5">
        <v>379.0</v>
      </c>
      <c r="C22" s="5">
        <v>90.0</v>
      </c>
      <c r="D22" s="5" t="s">
        <v>7</v>
      </c>
      <c r="E22" s="5" t="s">
        <v>48</v>
      </c>
    </row>
    <row r="23">
      <c r="A23" s="3" t="s">
        <v>45</v>
      </c>
      <c r="B23" s="5">
        <v>2485.0</v>
      </c>
      <c r="C23" s="5">
        <v>590.0</v>
      </c>
      <c r="D23" s="5" t="s">
        <v>7</v>
      </c>
      <c r="E23" s="5" t="s">
        <v>20</v>
      </c>
    </row>
    <row r="24">
      <c r="A24" s="3" t="s">
        <v>45</v>
      </c>
      <c r="B24" s="5">
        <v>1500.0</v>
      </c>
      <c r="C24" s="5">
        <v>358.0</v>
      </c>
      <c r="D24" s="5" t="s">
        <v>7</v>
      </c>
      <c r="E24" s="5" t="s">
        <v>20</v>
      </c>
    </row>
    <row r="25">
      <c r="A25" s="3" t="s">
        <v>47</v>
      </c>
      <c r="B25" s="5">
        <v>400.0</v>
      </c>
      <c r="C25" s="5">
        <v>95.0</v>
      </c>
      <c r="D25" s="5" t="s">
        <v>7</v>
      </c>
      <c r="E25" s="5" t="s">
        <v>48</v>
      </c>
    </row>
    <row r="26">
      <c r="A26" s="3" t="s">
        <v>47</v>
      </c>
      <c r="B26" s="5">
        <v>845.0</v>
      </c>
      <c r="C26" s="5">
        <v>200.76</v>
      </c>
      <c r="D26" s="5" t="s">
        <v>7</v>
      </c>
      <c r="E26" s="5" t="s">
        <v>48</v>
      </c>
    </row>
    <row r="27">
      <c r="A27" s="3" t="s">
        <v>42</v>
      </c>
      <c r="B27" s="5">
        <v>8000.0</v>
      </c>
      <c r="C27" s="5">
        <v>1898.4</v>
      </c>
      <c r="D27" s="5" t="s">
        <v>7</v>
      </c>
      <c r="E27" s="5" t="s">
        <v>20</v>
      </c>
    </row>
    <row r="28">
      <c r="A28" s="3" t="s">
        <v>47</v>
      </c>
      <c r="B28" s="5">
        <v>1000.0</v>
      </c>
      <c r="C28" s="5">
        <v>238.0</v>
      </c>
      <c r="D28" s="5" t="s">
        <v>7</v>
      </c>
      <c r="E28" s="5" t="s">
        <v>48</v>
      </c>
    </row>
    <row r="29">
      <c r="A29" s="6">
        <v>46183.0</v>
      </c>
      <c r="B29" s="5">
        <v>1600.0</v>
      </c>
      <c r="C29" s="5">
        <v>379.31</v>
      </c>
      <c r="D29" s="5" t="s">
        <v>7</v>
      </c>
      <c r="E29" s="5" t="s">
        <v>48</v>
      </c>
    </row>
    <row r="30">
      <c r="A30" s="3" t="s">
        <v>35</v>
      </c>
      <c r="B30" s="5">
        <v>2113.0</v>
      </c>
      <c r="C30" s="5">
        <v>500.0</v>
      </c>
      <c r="D30" s="5" t="s">
        <v>7</v>
      </c>
      <c r="E30" s="5" t="s">
        <v>20</v>
      </c>
    </row>
    <row r="31">
      <c r="A31" s="3" t="s">
        <v>17</v>
      </c>
      <c r="B31" s="5">
        <v>5000.0</v>
      </c>
      <c r="C31" s="5">
        <v>1187.0</v>
      </c>
      <c r="D31" s="5" t="s">
        <v>7</v>
      </c>
      <c r="E31" s="5" t="s">
        <v>48</v>
      </c>
    </row>
    <row r="32">
      <c r="A32" s="12" t="s">
        <v>50</v>
      </c>
      <c r="B32" s="4">
        <v>250000.0</v>
      </c>
      <c r="C32" s="5">
        <v>22.77</v>
      </c>
      <c r="D32" s="5" t="s">
        <v>7</v>
      </c>
      <c r="E32" s="5" t="s">
        <v>48</v>
      </c>
    </row>
    <row r="33">
      <c r="A33" s="12" t="s">
        <v>54</v>
      </c>
      <c r="B33" s="5">
        <v>1000.0</v>
      </c>
      <c r="C33" s="5">
        <v>238.0</v>
      </c>
      <c r="D33" s="5" t="s">
        <v>7</v>
      </c>
      <c r="E33" s="5" t="s">
        <v>20</v>
      </c>
    </row>
    <row r="34">
      <c r="A34" s="12" t="s">
        <v>55</v>
      </c>
      <c r="B34" s="5">
        <v>1500.0</v>
      </c>
      <c r="C34" s="5">
        <v>358.0</v>
      </c>
      <c r="D34" s="5" t="s">
        <v>7</v>
      </c>
      <c r="E34" s="5" t="s">
        <v>20</v>
      </c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  <row r="1001">
      <c r="A1001" s="9"/>
    </row>
    <row r="1002">
      <c r="A1002" s="9"/>
    </row>
    <row r="1003">
      <c r="A1003" s="9"/>
    </row>
  </sheetData>
  <drawing r:id="rId1"/>
</worksheet>
</file>